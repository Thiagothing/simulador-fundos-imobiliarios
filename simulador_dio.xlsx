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ED\Desktop\"/>
    </mc:Choice>
  </mc:AlternateContent>
  <xr:revisionPtr revIDLastSave="0" documentId="13_ncr:1_{125E5EC1-8192-46E9-B5FC-4E408E7864BD}" xr6:coauthVersionLast="47" xr6:coauthVersionMax="47" xr10:uidLastSave="{00000000-0000-0000-0000-000000000000}"/>
  <bookViews>
    <workbookView xWindow="-110" yWindow="-110" windowWidth="19420" windowHeight="10300" tabRatio="247" xr2:uid="{4F3DCB11-EAFF-4757-8A43-A528F4EF3FE7}"/>
  </bookViews>
  <sheets>
    <sheet name="APP" sheetId="1" r:id="rId1"/>
    <sheet name="Planilha2" sheetId="2" r:id="rId2"/>
  </sheets>
  <definedNames>
    <definedName name="aporte">APP!$D$19</definedName>
    <definedName name="patrimonio">APP!$D$22</definedName>
    <definedName name="qtd_anos">APP!$D$20</definedName>
    <definedName name="rendimento_carteira">APP!$D$15</definedName>
    <definedName name="salario">APP!$D$14</definedName>
    <definedName name="sugestao_investimento">APP!$D$16</definedName>
    <definedName name="taxa_mensal">APP!$D$21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36" i="1"/>
  <c r="H4" i="2"/>
  <c r="A15" i="2"/>
  <c r="A10" i="2"/>
  <c r="A11" i="2"/>
  <c r="A12" i="2"/>
  <c r="A13" i="2"/>
  <c r="A14" i="2"/>
  <c r="A16" i="2"/>
  <c r="A17" i="2"/>
  <c r="A18" i="2"/>
  <c r="A19" i="2"/>
  <c r="A20" i="2"/>
  <c r="A9" i="2"/>
  <c r="A4" i="2"/>
  <c r="A5" i="2"/>
  <c r="A6" i="2"/>
  <c r="A7" i="2"/>
  <c r="A8" i="2"/>
  <c r="A3" i="2"/>
  <c r="C33" i="1"/>
  <c r="D22" i="1"/>
  <c r="D23" i="1" s="1"/>
  <c r="D16" i="1"/>
  <c r="C27" i="1"/>
  <c r="D27" i="1" s="1"/>
  <c r="C28" i="1"/>
  <c r="D28" i="1" s="1"/>
  <c r="C29" i="1"/>
  <c r="D29" i="1" s="1"/>
  <c r="C30" i="1"/>
  <c r="D30" i="1" s="1"/>
  <c r="C26" i="1"/>
  <c r="D26" i="1" s="1"/>
  <c r="D38" i="1" l="1"/>
  <c r="D39" i="1"/>
  <c r="D41" i="1"/>
  <c r="D36" i="1"/>
  <c r="D42" i="1" s="1"/>
  <c r="D37" i="1"/>
  <c r="D40" i="1"/>
</calcChain>
</file>

<file path=xl/sharedStrings.xml><?xml version="1.0" encoding="utf-8"?>
<sst xmlns="http://schemas.openxmlformats.org/spreadsheetml/2006/main" count="70" uniqueCount="36">
  <si>
    <t>Quanto investir por mês?</t>
  </si>
  <si>
    <t>Por Quantos Anos?</t>
  </si>
  <si>
    <t>Taxa de Rendimento Mensal?</t>
  </si>
  <si>
    <t>Patrimônio Acumulado?</t>
  </si>
  <si>
    <t>Dividendo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</si>
  <si>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</si>
  <si>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</si>
  <si>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</si>
  <si>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</si>
  <si>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</si>
  <si>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</si>
  <si>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Dividendo</t>
  </si>
  <si>
    <t>Cenários</t>
  </si>
  <si>
    <t>Rendimento carteira</t>
  </si>
  <si>
    <t>Salário</t>
  </si>
  <si>
    <t>Sugestão de Investimento</t>
  </si>
  <si>
    <t>CONFIGURAÇÕES</t>
  </si>
  <si>
    <t>Perfil</t>
  </si>
  <si>
    <t>Agressivo</t>
  </si>
  <si>
    <t>Conservador</t>
  </si>
  <si>
    <t>Moderado</t>
  </si>
  <si>
    <t>Percentual sugerido</t>
  </si>
  <si>
    <t>Valores</t>
  </si>
  <si>
    <t>VALOR A SER INVESTIDO POR MÊS</t>
  </si>
  <si>
    <t>TIPO DE FII</t>
  </si>
  <si>
    <t>PAPEL</t>
  </si>
  <si>
    <t>TIJOLO</t>
  </si>
  <si>
    <t>BÍBRIDO</t>
  </si>
  <si>
    <t>FOFs</t>
  </si>
  <si>
    <t>DESENVOLVIMENTO</t>
  </si>
  <si>
    <t>HOTELARIAS</t>
  </si>
  <si>
    <t>PERFIL</t>
  </si>
  <si>
    <t>TIPO FII</t>
  </si>
  <si>
    <t>%</t>
  </si>
  <si>
    <t>CHAVE COMPOSTA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</si>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</sst>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0"/>
      <name val="Segoe UI Semibold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theme="1"/>
      <name val="Aptos Narrow"/>
      <family val="2"/>
      <scheme val="minor"/>
    </font>
    <font>
      <sz val="11"/>
      <color theme="5"/>
      <name val="Segoe UI"/>
      <family val="2"/>
    </font>
    <font>
      <sz val="11"/>
      <color theme="5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6EA16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/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2" xfId="0" applyFill="1" applyBorder="1"/>
    <xf numFmtId="0" fontId="1" fillId="0" borderId="0" xfId="0" applyFont="1"/>
    <xf numFmtId="0" fontId="3" fillId="2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164" fontId="5" fillId="0" borderId="12" xfId="0" applyNumberFormat="1" applyFont="1" applyBorder="1" applyAlignment="1">
      <alignment horizontal="center"/>
    </xf>
    <xf numFmtId="10" fontId="5" fillId="0" borderId="14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0" fontId="6" fillId="0" borderId="6" xfId="0" applyNumberFormat="1" applyFont="1" applyBorder="1" applyAlignment="1">
      <alignment horizontal="center"/>
    </xf>
    <xf numFmtId="8" fontId="6" fillId="3" borderId="6" xfId="0" applyNumberFormat="1" applyFont="1" applyFill="1" applyBorder="1" applyAlignment="1">
      <alignment horizontal="center"/>
    </xf>
    <xf numFmtId="8" fontId="6" fillId="3" borderId="7" xfId="0" applyNumberFormat="1" applyFont="1" applyFill="1" applyBorder="1" applyAlignment="1">
      <alignment horizontal="center"/>
    </xf>
    <xf numFmtId="0" fontId="5" fillId="3" borderId="11" xfId="0" applyFont="1" applyFill="1" applyBorder="1"/>
    <xf numFmtId="8" fontId="5" fillId="3" borderId="9" xfId="0" applyNumberFormat="1" applyFont="1" applyFill="1" applyBorder="1" applyAlignment="1">
      <alignment horizontal="center"/>
    </xf>
    <xf numFmtId="8" fontId="5" fillId="3" borderId="12" xfId="0" applyNumberFormat="1" applyFont="1" applyFill="1" applyBorder="1" applyAlignment="1">
      <alignment horizontal="center"/>
    </xf>
    <xf numFmtId="0" fontId="5" fillId="3" borderId="13" xfId="0" applyFont="1" applyFill="1" applyBorder="1"/>
    <xf numFmtId="8" fontId="5" fillId="3" borderId="10" xfId="0" applyNumberFormat="1" applyFont="1" applyFill="1" applyBorder="1" applyAlignment="1">
      <alignment horizontal="center"/>
    </xf>
    <xf numFmtId="0" fontId="5" fillId="3" borderId="15" xfId="0" applyFont="1" applyFill="1" applyBorder="1"/>
    <xf numFmtId="8" fontId="5" fillId="3" borderId="16" xfId="0" applyNumberFormat="1" applyFont="1" applyFill="1" applyBorder="1" applyAlignment="1">
      <alignment horizontal="center"/>
    </xf>
    <xf numFmtId="8" fontId="5" fillId="3" borderId="18" xfId="0" applyNumberFormat="1" applyFont="1" applyFill="1" applyBorder="1" applyAlignment="1">
      <alignment horizontal="center"/>
    </xf>
    <xf numFmtId="164" fontId="5" fillId="3" borderId="17" xfId="0" applyNumberFormat="1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8" fillId="5" borderId="0" xfId="0" applyFont="1" applyFill="1"/>
    <xf numFmtId="0" fontId="9" fillId="5" borderId="0" xfId="0" applyFont="1" applyFill="1"/>
    <xf numFmtId="0" fontId="6" fillId="3" borderId="0" xfId="0" applyFont="1" applyFill="1"/>
    <xf numFmtId="164" fontId="6" fillId="3" borderId="0" xfId="0" applyNumberFormat="1" applyFont="1" applyFill="1"/>
    <xf numFmtId="9" fontId="0" fillId="0" borderId="0" xfId="0" applyNumberFormat="1"/>
    <xf numFmtId="0" fontId="0" fillId="6" borderId="0" xfId="0" applyFill="1"/>
    <xf numFmtId="0" fontId="7" fillId="6" borderId="0" xfId="0" applyFont="1" applyFill="1" applyAlignment="1">
      <alignment horizontal="center"/>
    </xf>
    <xf numFmtId="164" fontId="7" fillId="6" borderId="0" xfId="0" applyNumberFormat="1" applyFont="1" applyFill="1"/>
    <xf numFmtId="164" fontId="0" fillId="3" borderId="0" xfId="0" applyNumberFormat="1" applyFill="1"/>
    <xf numFmtId="0" fontId="0" fillId="0" borderId="21" xfId="0" applyBorder="1"/>
    <xf numFmtId="9" fontId="0" fillId="0" borderId="21" xfId="0" applyNumberFormat="1" applyBorder="1"/>
    <xf numFmtId="9" fontId="0" fillId="4" borderId="0" xfId="0" applyNumberFormat="1" applyFill="1"/>
    <xf numFmtId="0" fontId="6" fillId="3" borderId="4" xfId="0" applyFont="1" applyFill="1" applyBorder="1" applyAlignment="1">
      <alignment horizontal="left"/>
    </xf>
    <xf numFmtId="0" fontId="6" fillId="3" borderId="20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left"/>
    </xf>
    <xf numFmtId="0" fontId="5" fillId="3" borderId="9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/>
    </xf>
    <xf numFmtId="0" fontId="5" fillId="3" borderId="16" xfId="0" applyFont="1" applyFill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3" borderId="19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EA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D0-4C3C-B7E7-E027A75398C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D0-4C3C-B7E7-E027A75398C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4D0-4C3C-B7E7-E027A75398C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74D0-4C3C-B7E7-E027A75398C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74D0-4C3C-B7E7-E027A75398C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74D0-4C3C-B7E7-E027A75398C4}"/>
              </c:ext>
            </c:extLst>
          </c:dPt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BÍBRIDO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7-46E4-A2B8-E87BB8376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hyperlink" Target="https://pxhere.com/pt/photo/91827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462641</xdr:colOff>
      <xdr:row>0</xdr:row>
      <xdr:rowOff>172357</xdr:rowOff>
    </xdr:from>
    <xdr:to>
      <xdr:col>4</xdr:col>
      <xdr:colOff>81643</xdr:colOff>
      <xdr:row>9</xdr:row>
      <xdr:rowOff>72572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9A58562-E0B9-728E-371E-F2CA9500EB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r="2174" b="36932"/>
        <a:stretch>
          <a:fillRect/>
        </a:stretch>
      </xdr:blipFill>
      <xdr:spPr>
        <a:xfrm>
          <a:off x="462641" y="172357"/>
          <a:ext cx="5043716" cy="1533072"/>
        </a:xfrm>
        <a:prstGeom prst="rect">
          <a:avLst/>
        </a:prstGeom>
      </xdr:spPr>
    </xdr:pic>
    <xdr:clientData/>
  </xdr:twoCellAnchor>
  <xdr:twoCellAnchor>
    <xdr:from>
      <xdr:col>1</xdr:col>
      <xdr:colOff>199571</xdr:colOff>
      <xdr:row>43</xdr:row>
      <xdr:rowOff>39006</xdr:rowOff>
    </xdr:from>
    <xdr:to>
      <xdr:col>3</xdr:col>
      <xdr:colOff>1025071</xdr:colOff>
      <xdr:row>58</xdr:row>
      <xdr:rowOff>60777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2E4BFBB-70D0-A0EF-90C7-04DD391BB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BD092-9D92-44D8-906F-772550316357}">
  <dimension ref="A11:G66"/>
  <sheetViews>
    <sheetView showGridLines="0" tabSelected="1" zoomScale="60" zoomScaleNormal="60" workbookViewId="0">
      <selection activeCell="D20" sqref="D20"/>
    </sheetView>
  </sheetViews>
  <sheetFormatPr defaultColWidth="0" defaultRowHeight="14.5" x14ac:dyDescent="0.35"/>
  <cols>
    <col min="1" max="1" width="8.7265625" customWidth="1"/>
    <col min="2" max="2" width="33.6328125" customWidth="1"/>
    <col min="3" max="3" width="20" customWidth="1"/>
    <col min="4" max="4" width="15.36328125" customWidth="1"/>
    <col min="5" max="5" width="4.6328125" customWidth="1"/>
    <col min="6" max="6" width="3" hidden="1" customWidth="1"/>
    <col min="7" max="7" width="3.6328125" hidden="1" customWidth="1"/>
    <col min="8" max="11" width="8.7265625" hidden="1" customWidth="1"/>
    <col min="12" max="16384" width="8.7265625" hidden="1"/>
  </cols>
  <sheetData>
    <row r="11" spans="2:4" ht="14" customHeight="1" x14ac:dyDescent="0.35"/>
    <row r="12" spans="2:4" ht="2.5" customHeight="1" thickBot="1" x14ac:dyDescent="0.4"/>
    <row r="13" spans="2:4" ht="21" x14ac:dyDescent="0.35">
      <c r="B13" s="39" t="s">
        <v>16</v>
      </c>
      <c r="C13" s="40"/>
      <c r="D13" s="4"/>
    </row>
    <row r="14" spans="2:4" ht="17" thickBot="1" x14ac:dyDescent="0.5">
      <c r="B14" s="41" t="s">
        <v>14</v>
      </c>
      <c r="C14" s="42"/>
      <c r="D14" s="5">
        <v>2000</v>
      </c>
    </row>
    <row r="15" spans="2:4" ht="17" thickBot="1" x14ac:dyDescent="0.5">
      <c r="B15" s="43" t="s">
        <v>13</v>
      </c>
      <c r="C15" s="44"/>
      <c r="D15" s="6">
        <v>6.0000000000000001E-3</v>
      </c>
    </row>
    <row r="16" spans="2:4" ht="17" thickBot="1" x14ac:dyDescent="0.5">
      <c r="B16" s="45" t="s">
        <v>15</v>
      </c>
      <c r="C16" s="46"/>
      <c r="D16" s="20">
        <f>D14*30%</f>
        <v>600</v>
      </c>
    </row>
    <row r="17" spans="1:4" ht="15" thickBot="1" x14ac:dyDescent="0.4"/>
    <row r="18" spans="1:4" ht="27" customHeight="1" x14ac:dyDescent="0.35">
      <c r="B18" s="37" t="s">
        <v>5</v>
      </c>
      <c r="C18" s="38"/>
      <c r="D18" s="1"/>
    </row>
    <row r="19" spans="1:4" ht="16.5" x14ac:dyDescent="0.45">
      <c r="B19" s="47" t="s">
        <v>0</v>
      </c>
      <c r="C19" s="48"/>
      <c r="D19" s="7">
        <v>300</v>
      </c>
    </row>
    <row r="20" spans="1:4" ht="16.5" x14ac:dyDescent="0.45">
      <c r="B20" s="47" t="s">
        <v>1</v>
      </c>
      <c r="C20" s="48"/>
      <c r="D20" s="8">
        <v>5</v>
      </c>
    </row>
    <row r="21" spans="1:4" ht="16.5" x14ac:dyDescent="0.45">
      <c r="B21" s="47" t="s">
        <v>2</v>
      </c>
      <c r="C21" s="48"/>
      <c r="D21" s="9">
        <v>1.0789999999999999E-2</v>
      </c>
    </row>
    <row r="22" spans="1:4" ht="16.5" x14ac:dyDescent="0.45">
      <c r="B22" s="49" t="s">
        <v>3</v>
      </c>
      <c r="C22" s="50"/>
      <c r="D22" s="10">
        <f>FV(taxa_mensal,qtd_anos*12,aporte*-1)</f>
        <v>25133.074199546292</v>
      </c>
    </row>
    <row r="23" spans="1:4" ht="17" thickBot="1" x14ac:dyDescent="0.5">
      <c r="B23" s="35" t="s">
        <v>4</v>
      </c>
      <c r="C23" s="36"/>
      <c r="D23" s="11">
        <f>(patrimonio*$D$15)</f>
        <v>150.79844519727774</v>
      </c>
    </row>
    <row r="24" spans="1:4" ht="15" thickBot="1" x14ac:dyDescent="0.4"/>
    <row r="25" spans="1:4" ht="27" customHeight="1" x14ac:dyDescent="0.35">
      <c r="B25" s="37" t="s">
        <v>12</v>
      </c>
      <c r="C25" s="38"/>
      <c r="D25" s="3" t="s">
        <v>11</v>
      </c>
    </row>
    <row r="26" spans="1:4" ht="17" thickBot="1" x14ac:dyDescent="0.5">
      <c r="A26" s="2">
        <v>2</v>
      </c>
      <c r="B26" s="12" t="s">
        <v>6</v>
      </c>
      <c r="C26" s="13">
        <f>FV($D$21,$A26*12,$D$19*-1)</f>
        <v>8168.2881892935648</v>
      </c>
      <c r="D26" s="14">
        <f>C26*rendimento_carteira</f>
        <v>49.00972913576139</v>
      </c>
    </row>
    <row r="27" spans="1:4" ht="17" thickBot="1" x14ac:dyDescent="0.5">
      <c r="A27" s="2">
        <v>5</v>
      </c>
      <c r="B27" s="15" t="s">
        <v>7</v>
      </c>
      <c r="C27" s="16">
        <f>FV($D$21,$A27*12,$D$19*-1)</f>
        <v>25133.074199546292</v>
      </c>
      <c r="D27" s="14">
        <f>C27*rendimento_carteira</f>
        <v>150.79844519727774</v>
      </c>
    </row>
    <row r="28" spans="1:4" ht="17" thickBot="1" x14ac:dyDescent="0.5">
      <c r="A28" s="2">
        <v>10</v>
      </c>
      <c r="B28" s="15" t="s">
        <v>8</v>
      </c>
      <c r="C28" s="16">
        <f>FV($D$21,$A28*12,$D$19*-1)</f>
        <v>72985.263759051653</v>
      </c>
      <c r="D28" s="14">
        <f>C28*rendimento_carteira</f>
        <v>437.91158255430992</v>
      </c>
    </row>
    <row r="29" spans="1:4" ht="17" thickBot="1" x14ac:dyDescent="0.5">
      <c r="A29" s="2">
        <v>20</v>
      </c>
      <c r="B29" s="15" t="s">
        <v>9</v>
      </c>
      <c r="C29" s="16">
        <f>FV($D$21,$A29*12,$D$19*-1)</f>
        <v>337559.52002912416</v>
      </c>
      <c r="D29" s="14">
        <f>C29*rendimento_carteira</f>
        <v>2025.357120174745</v>
      </c>
    </row>
    <row r="30" spans="1:4" ht="17" thickBot="1" x14ac:dyDescent="0.5">
      <c r="A30" s="2">
        <v>30</v>
      </c>
      <c r="B30" s="17" t="s">
        <v>10</v>
      </c>
      <c r="C30" s="18">
        <f>FV($D$21,$A30*12,$D$19*-1)</f>
        <v>1296650.8965014142</v>
      </c>
      <c r="D30" s="19">
        <f>C30*rendimento_carteira</f>
        <v>7779.9053790084854</v>
      </c>
    </row>
    <row r="32" spans="1:4" ht="16.5" x14ac:dyDescent="0.45">
      <c r="B32" s="23" t="s">
        <v>17</v>
      </c>
      <c r="C32" s="24" t="s">
        <v>19</v>
      </c>
      <c r="D32" s="22"/>
    </row>
    <row r="33" spans="2:4" ht="16.5" x14ac:dyDescent="0.45">
      <c r="B33" s="25" t="s">
        <v>23</v>
      </c>
      <c r="C33" s="26">
        <f>aporte</f>
        <v>300</v>
      </c>
      <c r="D33" s="25"/>
    </row>
    <row r="35" spans="2:4" x14ac:dyDescent="0.35">
      <c r="B35" s="29" t="s">
        <v>24</v>
      </c>
      <c r="C35" s="29" t="s">
        <v>21</v>
      </c>
      <c r="D35" s="29" t="s">
        <v>22</v>
      </c>
    </row>
    <row r="36" spans="2:4" x14ac:dyDescent="0.35">
      <c r="B36" t="s">
        <v>25</v>
      </c>
      <c r="C36" s="27">
        <f>VLOOKUP($C$32&amp;"-"&amp;B36,Planilha2!$A:$D,4,FALSE)</f>
        <v>0.3</v>
      </c>
      <c r="D36" s="31">
        <f>C36*$C$33</f>
        <v>90</v>
      </c>
    </row>
    <row r="37" spans="2:4" x14ac:dyDescent="0.35">
      <c r="B37" t="s">
        <v>26</v>
      </c>
      <c r="C37" s="27">
        <f>VLOOKUP($C$32&amp;"-"&amp;B37,Planilha2!$A:$D,4,FALSE)</f>
        <v>0.5</v>
      </c>
      <c r="D37" s="31">
        <f t="shared" ref="D37:D41" si="0">C37*$C$33</f>
        <v>150</v>
      </c>
    </row>
    <row r="38" spans="2:4" x14ac:dyDescent="0.35">
      <c r="B38" t="s">
        <v>27</v>
      </c>
      <c r="C38" s="27">
        <f>VLOOKUP($C$32&amp;"-"&amp;B38,Planilha2!$A:$D,4,FALSE)</f>
        <v>0.1</v>
      </c>
      <c r="D38" s="31">
        <f t="shared" si="0"/>
        <v>30</v>
      </c>
    </row>
    <row r="39" spans="2:4" x14ac:dyDescent="0.35">
      <c r="B39" t="s">
        <v>28</v>
      </c>
      <c r="C39" s="27">
        <f>VLOOKUP($C$32&amp;"-"&amp;B39,Planilha2!$A:$D,4,FALSE)</f>
        <v>0.1</v>
      </c>
      <c r="D39" s="31">
        <f t="shared" si="0"/>
        <v>30</v>
      </c>
    </row>
    <row r="40" spans="2:4" x14ac:dyDescent="0.35">
      <c r="B40" t="s">
        <v>29</v>
      </c>
      <c r="C40" s="27">
        <f>VLOOKUP($C$32&amp;"-"&amp;B40,Planilha2!$A:$D,4,FALSE)</f>
        <v>0</v>
      </c>
      <c r="D40" s="31">
        <f t="shared" si="0"/>
        <v>0</v>
      </c>
    </row>
    <row r="41" spans="2:4" x14ac:dyDescent="0.35">
      <c r="B41" t="s">
        <v>30</v>
      </c>
      <c r="C41" s="27">
        <f>VLOOKUP($C$32&amp;"-"&amp;B41,Planilha2!$A:$D,4,FALSE)</f>
        <v>0</v>
      </c>
      <c r="D41" s="31">
        <f t="shared" si="0"/>
        <v>0</v>
      </c>
    </row>
    <row r="42" spans="2:4" x14ac:dyDescent="0.35">
      <c r="B42" s="28"/>
      <c r="C42" s="28"/>
      <c r="D42" s="30">
        <f>SUM(D36:D41)</f>
        <v>300</v>
      </c>
    </row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</sheetData>
  <mergeCells count="11">
    <mergeCell ref="B23:C23"/>
    <mergeCell ref="B25:C25"/>
    <mergeCell ref="B13:C13"/>
    <mergeCell ref="B14:C14"/>
    <mergeCell ref="B15:C15"/>
    <mergeCell ref="B16:C16"/>
    <mergeCell ref="B18:C18"/>
    <mergeCell ref="B19:C19"/>
    <mergeCell ref="B20:C20"/>
    <mergeCell ref="B21:C21"/>
    <mergeCell ref="B22:C22"/>
  </mergeCells>
  <dataValidations count="1">
    <dataValidation type="list" allowBlank="1" showInputMessage="1" showErrorMessage="1" sqref="C32" xr:uid="{04FEAEDD-437A-4E03-8443-71239396E886}">
      <formula1>"Conservador,Moderado,Agressivo"</formula1>
    </dataValidation>
  </dataValidations>
  <pageMargins left="0.511811024" right="0.511811024" top="0.78740157499999996" bottom="0.78740157499999996" header="0.31496062000000002" footer="0.31496062000000002"/>
  <headerFooter>
    <oddFooter>&amp;L_x000D_&amp;1#&amp;"Aptos"&amp;10&amp;KFFFF00 Restrito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6CA76-BE24-4EC9-89FB-3BD4715E1FC9}">
  <dimension ref="A2:H20"/>
  <sheetViews>
    <sheetView workbookViewId="0">
      <selection activeCell="F12" sqref="F12"/>
    </sheetView>
  </sheetViews>
  <sheetFormatPr defaultRowHeight="14.5" x14ac:dyDescent="0.35"/>
  <cols>
    <col min="1" max="1" width="28.54296875" bestFit="1" customWidth="1"/>
    <col min="2" max="2" width="11.08984375" bestFit="1" customWidth="1"/>
    <col min="3" max="3" width="17.453125" bestFit="1" customWidth="1"/>
    <col min="7" max="7" width="15.26953125" bestFit="1" customWidth="1"/>
  </cols>
  <sheetData>
    <row r="2" spans="1:8" x14ac:dyDescent="0.35">
      <c r="A2" t="s">
        <v>34</v>
      </c>
      <c r="B2" t="s">
        <v>31</v>
      </c>
      <c r="C2" t="s">
        <v>32</v>
      </c>
      <c r="D2" t="s">
        <v>33</v>
      </c>
    </row>
    <row r="3" spans="1:8" x14ac:dyDescent="0.35">
      <c r="A3" t="str">
        <f>B3&amp;"-"&amp;C3</f>
        <v>Conservador-PAPEL</v>
      </c>
      <c r="B3" t="s">
        <v>19</v>
      </c>
      <c r="C3" t="s">
        <v>25</v>
      </c>
      <c r="D3" s="27">
        <v>0.3</v>
      </c>
    </row>
    <row r="4" spans="1:8" x14ac:dyDescent="0.35">
      <c r="A4" t="str">
        <f t="shared" ref="A4:A20" si="0">B4&amp;"-"&amp;C4</f>
        <v>Conservador-TIJOLO</v>
      </c>
      <c r="B4" t="s">
        <v>19</v>
      </c>
      <c r="C4" t="s">
        <v>26</v>
      </c>
      <c r="D4" s="27">
        <v>0.5</v>
      </c>
      <c r="G4" s="21" t="s">
        <v>35</v>
      </c>
      <c r="H4" s="34">
        <f>VLOOKUP(G4,$A:$D,4,FALSE)</f>
        <v>0.35</v>
      </c>
    </row>
    <row r="5" spans="1:8" x14ac:dyDescent="0.35">
      <c r="A5" t="str">
        <f t="shared" si="0"/>
        <v>Conservador-BÍBRIDO</v>
      </c>
      <c r="B5" t="s">
        <v>19</v>
      </c>
      <c r="C5" t="s">
        <v>27</v>
      </c>
      <c r="D5" s="27">
        <v>0.1</v>
      </c>
    </row>
    <row r="6" spans="1:8" x14ac:dyDescent="0.35">
      <c r="A6" t="str">
        <f t="shared" si="0"/>
        <v>Conservador-FOFs</v>
      </c>
      <c r="B6" t="s">
        <v>19</v>
      </c>
      <c r="C6" t="s">
        <v>28</v>
      </c>
      <c r="D6" s="27">
        <v>0.1</v>
      </c>
    </row>
    <row r="7" spans="1:8" x14ac:dyDescent="0.35">
      <c r="A7" t="str">
        <f t="shared" si="0"/>
        <v>Conservador-DESENVOLVIMENTO</v>
      </c>
      <c r="B7" t="s">
        <v>19</v>
      </c>
      <c r="C7" t="s">
        <v>29</v>
      </c>
      <c r="D7" s="27">
        <v>0</v>
      </c>
    </row>
    <row r="8" spans="1:8" ht="15" thickBot="1" x14ac:dyDescent="0.4">
      <c r="A8" s="32" t="str">
        <f t="shared" si="0"/>
        <v>Conservador-HOTELARIAS</v>
      </c>
      <c r="B8" s="32" t="s">
        <v>19</v>
      </c>
      <c r="C8" s="32" t="s">
        <v>30</v>
      </c>
      <c r="D8" s="33">
        <v>0</v>
      </c>
    </row>
    <row r="9" spans="1:8" x14ac:dyDescent="0.35">
      <c r="A9" t="str">
        <f t="shared" si="0"/>
        <v>Moderado-PAPEL</v>
      </c>
      <c r="B9" t="s">
        <v>20</v>
      </c>
      <c r="C9" t="s">
        <v>25</v>
      </c>
      <c r="D9" s="27">
        <v>0.32</v>
      </c>
    </row>
    <row r="10" spans="1:8" x14ac:dyDescent="0.35">
      <c r="A10" t="str">
        <f t="shared" si="0"/>
        <v>Moderado-TIJOLO</v>
      </c>
      <c r="B10" t="s">
        <v>20</v>
      </c>
      <c r="C10" t="s">
        <v>26</v>
      </c>
      <c r="D10" s="27">
        <v>0.35</v>
      </c>
    </row>
    <row r="11" spans="1:8" x14ac:dyDescent="0.35">
      <c r="A11" t="str">
        <f t="shared" si="0"/>
        <v>Moderado-BÍBRIDO</v>
      </c>
      <c r="B11" t="s">
        <v>20</v>
      </c>
      <c r="C11" t="s">
        <v>27</v>
      </c>
      <c r="D11" s="27">
        <v>0.08</v>
      </c>
    </row>
    <row r="12" spans="1:8" x14ac:dyDescent="0.35">
      <c r="A12" t="str">
        <f t="shared" si="0"/>
        <v>Moderado-FOFs</v>
      </c>
      <c r="B12" t="s">
        <v>20</v>
      </c>
      <c r="C12" t="s">
        <v>28</v>
      </c>
      <c r="D12" s="27">
        <v>0.05</v>
      </c>
    </row>
    <row r="13" spans="1:8" x14ac:dyDescent="0.35">
      <c r="A13" t="str">
        <f t="shared" si="0"/>
        <v>Moderado-DESENVOLVIMENTO</v>
      </c>
      <c r="B13" t="s">
        <v>20</v>
      </c>
      <c r="C13" t="s">
        <v>29</v>
      </c>
      <c r="D13" s="27">
        <v>0.1</v>
      </c>
    </row>
    <row r="14" spans="1:8" ht="15" thickBot="1" x14ac:dyDescent="0.4">
      <c r="A14" s="32" t="str">
        <f t="shared" si="0"/>
        <v>Moderado-HOTELARIAS</v>
      </c>
      <c r="B14" s="32" t="s">
        <v>20</v>
      </c>
      <c r="C14" s="32" t="s">
        <v>30</v>
      </c>
      <c r="D14" s="33">
        <v>0.1</v>
      </c>
    </row>
    <row r="15" spans="1:8" x14ac:dyDescent="0.35">
      <c r="A15" t="str">
        <f t="shared" si="0"/>
        <v>Agressivo-PAPEL</v>
      </c>
      <c r="B15" t="s">
        <v>18</v>
      </c>
      <c r="C15" t="s">
        <v>25</v>
      </c>
      <c r="D15" s="27">
        <v>0.5</v>
      </c>
    </row>
    <row r="16" spans="1:8" x14ac:dyDescent="0.35">
      <c r="A16" t="str">
        <f t="shared" si="0"/>
        <v>Agressivo-TIJOLO</v>
      </c>
      <c r="B16" t="s">
        <v>18</v>
      </c>
      <c r="C16" t="s">
        <v>26</v>
      </c>
      <c r="D16" s="27">
        <v>0.1</v>
      </c>
    </row>
    <row r="17" spans="1:4" x14ac:dyDescent="0.35">
      <c r="A17" t="str">
        <f t="shared" si="0"/>
        <v>Agressivo-BÍBRIDO</v>
      </c>
      <c r="B17" t="s">
        <v>18</v>
      </c>
      <c r="C17" t="s">
        <v>27</v>
      </c>
      <c r="D17" s="27">
        <v>0.05</v>
      </c>
    </row>
    <row r="18" spans="1:4" x14ac:dyDescent="0.35">
      <c r="A18" t="str">
        <f t="shared" si="0"/>
        <v>Agressivo-FOFs</v>
      </c>
      <c r="B18" t="s">
        <v>18</v>
      </c>
      <c r="C18" t="s">
        <v>28</v>
      </c>
      <c r="D18" s="27">
        <v>0.05</v>
      </c>
    </row>
    <row r="19" spans="1:4" x14ac:dyDescent="0.35">
      <c r="A19" t="str">
        <f t="shared" si="0"/>
        <v>Agressivo-DESENVOLVIMENTO</v>
      </c>
      <c r="B19" t="s">
        <v>18</v>
      </c>
      <c r="C19" t="s">
        <v>29</v>
      </c>
      <c r="D19" s="27">
        <v>0.2</v>
      </c>
    </row>
    <row r="20" spans="1:4" x14ac:dyDescent="0.35">
      <c r="A20" t="str">
        <f t="shared" si="0"/>
        <v>Agressivo-HOTELARIAS</v>
      </c>
      <c r="B20" t="s">
        <v>18</v>
      </c>
      <c r="C20" t="s">
        <v>30</v>
      </c>
      <c r="D20" s="2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ALCANTARA SENA PINHEIRO A200115</dc:creator>
  <cp:lastModifiedBy>THIAGO ALCANTARA SENA PINHEIRO A200115</cp:lastModifiedBy>
  <dcterms:created xsi:type="dcterms:W3CDTF">2026-10-08T22:35:30Z</dcterms:created>
  <dcterms:modified xsi:type="dcterms:W3CDTF">2026-10-20T11:27:25Z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77ab46-e7aa-4563-b2e3-80bf45f79335_Enabled">
    <vt:lpwstr>true</vt:lpwstr>
  </property>
  <property fmtid="{D5CDD505-2E9C-101B-9397-08002B2CF9AE}" pid="3" name="MSIP_Label_f977ab46-e7aa-4563-b2e3-80bf45f79335_SetDate">
    <vt:lpwstr>2026-10-09T00:35:41Z</vt:lpwstr>
  </property>
  <property fmtid="{D5CDD505-2E9C-101B-9397-08002B2CF9AE}" pid="4" name="MSIP_Label_f977ab46-e7aa-4563-b2e3-80bf45f79335_Method">
    <vt:lpwstr>Standard</vt:lpwstr>
  </property>
  <property fmtid="{D5CDD505-2E9C-101B-9397-08002B2CF9AE}" pid="5" name="MSIP_Label_f977ab46-e7aa-4563-b2e3-80bf45f79335_Name">
    <vt:lpwstr>Restrito</vt:lpwstr>
  </property>
  <property fmtid="{D5CDD505-2E9C-101B-9397-08002B2CF9AE}" pid="6" name="MSIP_Label_f977ab46-e7aa-4563-b2e3-80bf45f79335_SiteId">
    <vt:lpwstr>f272a787-f767-4eac-99c4-ed8d5b233339</vt:lpwstr>
  </property>
  <property fmtid="{D5CDD505-2E9C-101B-9397-08002B2CF9AE}" pid="7" name="MSIP_Label_f977ab46-e7aa-4563-b2e3-80bf45f79335_ActionId">
    <vt:lpwstr>344a7f4c-5ccf-43ef-90c7-c4a5218419f3</vt:lpwstr>
  </property>
  <property fmtid="{D5CDD505-2E9C-101B-9397-08002B2CF9AE}" pid="8" name="MSIP_Label_f977ab46-e7aa-4563-b2e3-80bf45f79335_ContentBits">
    <vt:lpwstr>2</vt:lpwstr>
  </property>
  <property fmtid="{D5CDD505-2E9C-101B-9397-08002B2CF9AE}" pid="9" name="MSIP_Label_f977ab46-e7aa-4563-b2e3-80bf45f79335_Tag">
    <vt:lpwstr>10, 3, 0, 1</vt:lpwstr>
  </property>
</Properties>
</file>